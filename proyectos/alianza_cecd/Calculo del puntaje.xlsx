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 Tulimanes" sheetId="1" r:id="rId4"/>
    <sheet state="visible" name="Lombrices Macabras" sheetId="2" r:id="rId5"/>
    <sheet state="visible" name="Los Pussy Lickers" sheetId="3" r:id="rId6"/>
    <sheet state="visible" name="1 moneda de 500 y 5 de 100" sheetId="4" r:id="rId7"/>
  </sheets>
  <definedNames/>
  <calcPr/>
</workbook>
</file>

<file path=xl/sharedStrings.xml><?xml version="1.0" encoding="utf-8"?>
<sst xmlns="http://schemas.openxmlformats.org/spreadsheetml/2006/main" count="272" uniqueCount="71">
  <si>
    <t>Integrantes</t>
  </si>
  <si>
    <t>Año de ingreso</t>
  </si>
  <si>
    <t>Lider de grupo</t>
  </si>
  <si>
    <t>Mes</t>
  </si>
  <si>
    <t>Puntaje</t>
  </si>
  <si>
    <t xml:space="preserve"> Bastián Pérez</t>
  </si>
  <si>
    <t xml:space="preserve">X </t>
  </si>
  <si>
    <t>Junio</t>
  </si>
  <si>
    <t>Martín Pérez</t>
  </si>
  <si>
    <t>Agosto</t>
  </si>
  <si>
    <t>Vicente Rodriguez</t>
  </si>
  <si>
    <t>Septiembre</t>
  </si>
  <si>
    <t>Felipe Serrano</t>
  </si>
  <si>
    <t>Octubre</t>
  </si>
  <si>
    <t>Bemjamin Cid</t>
  </si>
  <si>
    <t>Noviembre</t>
  </si>
  <si>
    <t>Gabriel Lemus</t>
  </si>
  <si>
    <t>Thomas Johnson</t>
  </si>
  <si>
    <t>Total</t>
  </si>
  <si>
    <t>Javier Muñoz</t>
  </si>
  <si>
    <t>Actividad</t>
  </si>
  <si>
    <t>Realizado</t>
  </si>
  <si>
    <t>Bonus          (solo si aplica)</t>
  </si>
  <si>
    <t>Bonus                  (solo si aplica)</t>
  </si>
  <si>
    <t>Encuentra al Vito</t>
  </si>
  <si>
    <t>-</t>
  </si>
  <si>
    <t>Selfie al tuntun</t>
  </si>
  <si>
    <t>El retorno del trauma</t>
  </si>
  <si>
    <t>La caída dramática</t>
  </si>
  <si>
    <t>CeciTok</t>
  </si>
  <si>
    <t>Flashmob express</t>
  </si>
  <si>
    <t>EstudioCraft</t>
  </si>
  <si>
    <t>Foto Mitica</t>
  </si>
  <si>
    <t>Doctor Strange y el Multicasillero del Loki</t>
  </si>
  <si>
    <t>Moonwalk Challenge</t>
  </si>
  <si>
    <t>POV: JulioProfe</t>
  </si>
  <si>
    <t>Barras bravas CECID</t>
  </si>
  <si>
    <t>Veo el pi... con los ojos del alma</t>
  </si>
  <si>
    <t>Seminario Historico</t>
  </si>
  <si>
    <t>Comida y confianza</t>
  </si>
  <si>
    <t>CECID-PYME</t>
  </si>
  <si>
    <t>CECID Records</t>
  </si>
  <si>
    <t>Completo Hunter</t>
  </si>
  <si>
    <t>Cumpleaños tipo NULL</t>
  </si>
  <si>
    <t>Tutito-Day</t>
  </si>
  <si>
    <t>Total mes</t>
  </si>
  <si>
    <t>Total del mes</t>
  </si>
  <si>
    <t>Dan Salgado</t>
  </si>
  <si>
    <t>Carolina Lobos</t>
  </si>
  <si>
    <t>Esperanza Oliva</t>
  </si>
  <si>
    <t>Cristobal Robinson</t>
  </si>
  <si>
    <t>Daniela Espinoza</t>
  </si>
  <si>
    <t>Sofia Solorza</t>
  </si>
  <si>
    <t>X</t>
  </si>
  <si>
    <t>Bonus             (solo si aplica)</t>
  </si>
  <si>
    <t>Cristobal Muñoz</t>
  </si>
  <si>
    <t>Gaspar Yañez</t>
  </si>
  <si>
    <t>Jesús Arteaga</t>
  </si>
  <si>
    <t>Maria Paz</t>
  </si>
  <si>
    <t>Vicente Zuvic</t>
  </si>
  <si>
    <t>Martina Fritis</t>
  </si>
  <si>
    <t>Estebam Arias</t>
  </si>
  <si>
    <t>Boris Antillanca</t>
  </si>
  <si>
    <t>Bonus                    (solo si aplica)</t>
  </si>
  <si>
    <t>Ninoska Cid</t>
  </si>
  <si>
    <t>0 (no califica)</t>
  </si>
  <si>
    <t>Isidora Gomez</t>
  </si>
  <si>
    <t>Octavia Robledo</t>
  </si>
  <si>
    <t>Lucas Chicao</t>
  </si>
  <si>
    <t>Antonella Ainzua</t>
  </si>
  <si>
    <t>Camila Matamala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</si>
</sst>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0" xfId="0" applyAlignment="1" applyFont="1">
      <alignment horizontal="center"/>
    </xf>
    <xf borderId="0" fillId="2" fontId="1" numFmtId="0" xfId="0" applyFont="1"/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 readingOrder="0" shrinkToFit="0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/>
    </xf>
    <xf borderId="0" fillId="5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1"/>
    </xf>
    <xf borderId="0" fillId="5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88"/>
    <col customWidth="1" min="4" max="4" width="12.88"/>
    <col customWidth="1" min="6" max="6" width="19.75"/>
    <col customWidth="1" min="7" max="7" width="20.0"/>
    <col customWidth="1" min="8" max="8" width="10.75"/>
    <col customWidth="1" min="9" max="9" width="16.38"/>
  </cols>
  <sheetData>
    <row r="1">
      <c r="D1" s="1"/>
    </row>
    <row r="2">
      <c r="A2" s="2" t="s">
        <v>0</v>
      </c>
      <c r="B2" s="2" t="s">
        <v>1</v>
      </c>
      <c r="C2" s="2" t="s">
        <v>2</v>
      </c>
      <c r="D2" s="1"/>
      <c r="E2" s="3" t="s">
        <v>3</v>
      </c>
      <c r="F2" s="3" t="s">
        <v>4</v>
      </c>
    </row>
    <row r="3">
      <c r="A3" s="4" t="s">
        <v>5</v>
      </c>
      <c r="B3" s="4">
        <v>2025.0</v>
      </c>
      <c r="C3" s="4" t="s">
        <v>6</v>
      </c>
      <c r="D3" s="1"/>
      <c r="E3" s="5" t="s">
        <v>7</v>
      </c>
      <c r="F3" s="6">
        <f>SUM(C26:D26)</f>
        <v>295</v>
      </c>
    </row>
    <row r="4">
      <c r="A4" s="4" t="s">
        <v>8</v>
      </c>
      <c r="B4" s="4">
        <v>2025.0</v>
      </c>
      <c r="C4" s="7"/>
      <c r="D4" s="1"/>
      <c r="E4" s="5" t="s">
        <v>9</v>
      </c>
      <c r="F4" s="6">
        <f>SUM(H26:I26)</f>
        <v>0</v>
      </c>
    </row>
    <row r="5">
      <c r="A5" s="4" t="s">
        <v>10</v>
      </c>
      <c r="B5" s="4">
        <v>2025.0</v>
      </c>
      <c r="C5" s="7"/>
      <c r="D5" s="1"/>
      <c r="E5" s="5" t="s">
        <v>11</v>
      </c>
      <c r="F5" s="6"/>
    </row>
    <row r="6">
      <c r="A6" s="4" t="s">
        <v>12</v>
      </c>
      <c r="B6" s="4">
        <v>2025.0</v>
      </c>
      <c r="C6" s="7"/>
      <c r="D6" s="1"/>
      <c r="E6" s="5" t="s">
        <v>13</v>
      </c>
      <c r="F6" s="6"/>
    </row>
    <row r="7">
      <c r="A7" s="4" t="s">
        <v>14</v>
      </c>
      <c r="B7" s="4">
        <v>2025.0</v>
      </c>
      <c r="C7" s="7"/>
      <c r="D7" s="1"/>
      <c r="E7" s="5" t="s">
        <v>15</v>
      </c>
      <c r="F7" s="6"/>
    </row>
    <row r="8">
      <c r="A8" s="4" t="s">
        <v>16</v>
      </c>
      <c r="B8" s="4">
        <v>2025.0</v>
      </c>
      <c r="C8" s="7"/>
      <c r="D8" s="1"/>
      <c r="E8" s="6"/>
      <c r="F8" s="6"/>
    </row>
    <row r="9">
      <c r="A9" s="4" t="s">
        <v>17</v>
      </c>
      <c r="B9" s="4">
        <v>2025.0</v>
      </c>
      <c r="C9" s="7"/>
      <c r="D9" s="1"/>
      <c r="E9" s="3" t="s">
        <v>18</v>
      </c>
      <c r="F9" s="8">
        <f>SUM(F3:F7)</f>
        <v>295</v>
      </c>
    </row>
    <row r="10">
      <c r="A10" s="4" t="s">
        <v>19</v>
      </c>
      <c r="B10" s="4">
        <v>2025.0</v>
      </c>
      <c r="C10" s="7"/>
      <c r="D10" s="1"/>
      <c r="E10" s="6"/>
      <c r="F10" s="6"/>
    </row>
    <row r="11">
      <c r="D11" s="1"/>
    </row>
    <row r="12">
      <c r="D12" s="1"/>
    </row>
    <row r="13">
      <c r="A13" s="9" t="s">
        <v>7</v>
      </c>
      <c r="F13" s="10" t="s">
        <v>9</v>
      </c>
    </row>
    <row r="14" ht="27.0" customHeight="1">
      <c r="A14" s="11" t="s">
        <v>20</v>
      </c>
      <c r="B14" s="11" t="s">
        <v>4</v>
      </c>
      <c r="C14" s="11" t="s">
        <v>21</v>
      </c>
      <c r="D14" s="11" t="s">
        <v>22</v>
      </c>
      <c r="F14" s="11" t="s">
        <v>20</v>
      </c>
      <c r="G14" s="11" t="s">
        <v>4</v>
      </c>
      <c r="H14" s="11" t="s">
        <v>21</v>
      </c>
      <c r="I14" s="11" t="s">
        <v>23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8.0" customHeight="1">
      <c r="A15" s="13" t="s">
        <v>24</v>
      </c>
      <c r="B15" s="13">
        <v>30.0</v>
      </c>
      <c r="C15" s="13">
        <v>30.0</v>
      </c>
      <c r="D15" s="13" t="s">
        <v>25</v>
      </c>
      <c r="E15" s="12"/>
      <c r="F15" s="13" t="s">
        <v>26</v>
      </c>
      <c r="G15" s="13">
        <v>25.0</v>
      </c>
      <c r="H15" s="13">
        <v>0.0</v>
      </c>
      <c r="I15" s="13" t="s">
        <v>25</v>
      </c>
    </row>
    <row r="16" ht="18.0" customHeight="1">
      <c r="A16" s="13" t="s">
        <v>27</v>
      </c>
      <c r="B16" s="13">
        <v>50.0</v>
      </c>
      <c r="C16" s="13">
        <v>0.0</v>
      </c>
      <c r="D16" s="14" t="s">
        <v>25</v>
      </c>
      <c r="F16" s="13" t="s">
        <v>28</v>
      </c>
      <c r="G16" s="13">
        <v>35.0</v>
      </c>
      <c r="H16" s="13">
        <v>0.0</v>
      </c>
      <c r="I16" s="13" t="s">
        <v>25</v>
      </c>
    </row>
    <row r="17" ht="18.75" customHeight="1">
      <c r="A17" s="13" t="s">
        <v>29</v>
      </c>
      <c r="B17" s="13">
        <v>50.0</v>
      </c>
      <c r="C17" s="13">
        <v>50.0</v>
      </c>
      <c r="D17" s="14">
        <v>25.0</v>
      </c>
      <c r="F17" s="13" t="s">
        <v>30</v>
      </c>
      <c r="G17" s="13">
        <v>45.0</v>
      </c>
      <c r="H17" s="13">
        <v>0.0</v>
      </c>
      <c r="I17" s="13" t="s">
        <v>25</v>
      </c>
    </row>
    <row r="18" ht="18.0" customHeight="1">
      <c r="A18" s="13" t="s">
        <v>31</v>
      </c>
      <c r="B18" s="13">
        <v>10.0</v>
      </c>
      <c r="C18" s="13">
        <v>10.0</v>
      </c>
      <c r="D18" s="14" t="s">
        <v>25</v>
      </c>
      <c r="F18" s="13" t="s">
        <v>32</v>
      </c>
      <c r="G18" s="13">
        <v>20.0</v>
      </c>
      <c r="H18" s="13">
        <v>0.0</v>
      </c>
      <c r="I18" s="13" t="s">
        <v>25</v>
      </c>
    </row>
    <row r="19" ht="31.5" customHeight="1">
      <c r="A19" s="13" t="s">
        <v>33</v>
      </c>
      <c r="B19" s="13">
        <v>20.0</v>
      </c>
      <c r="C19" s="13">
        <v>20.0</v>
      </c>
      <c r="D19" s="14" t="s">
        <v>25</v>
      </c>
      <c r="F19" s="13" t="s">
        <v>34</v>
      </c>
      <c r="G19" s="13">
        <v>40.0</v>
      </c>
      <c r="H19" s="13">
        <v>0.0</v>
      </c>
      <c r="I19" s="13" t="s">
        <v>25</v>
      </c>
    </row>
    <row r="20" ht="27.75" customHeight="1">
      <c r="A20" s="13" t="s">
        <v>35</v>
      </c>
      <c r="B20" s="13">
        <v>30.0</v>
      </c>
      <c r="C20" s="13">
        <v>30.0</v>
      </c>
      <c r="D20" s="14" t="s">
        <v>25</v>
      </c>
      <c r="F20" s="13" t="s">
        <v>36</v>
      </c>
      <c r="G20" s="13">
        <v>20.0</v>
      </c>
      <c r="H20" s="13">
        <v>0.0</v>
      </c>
      <c r="I20" s="13" t="s">
        <v>25</v>
      </c>
    </row>
    <row r="21" ht="30.75" customHeight="1">
      <c r="A21" s="13" t="s">
        <v>37</v>
      </c>
      <c r="B21" s="13">
        <v>40.0</v>
      </c>
      <c r="C21" s="13">
        <v>40.0</v>
      </c>
      <c r="D21" s="14" t="s">
        <v>25</v>
      </c>
      <c r="F21" s="13" t="s">
        <v>38</v>
      </c>
      <c r="G21" s="13">
        <v>40.0</v>
      </c>
      <c r="H21" s="13">
        <v>0.0</v>
      </c>
      <c r="I21" s="13" t="s">
        <v>25</v>
      </c>
    </row>
    <row r="22" ht="18.75" customHeight="1">
      <c r="A22" s="13" t="s">
        <v>39</v>
      </c>
      <c r="B22" s="13">
        <v>10.0</v>
      </c>
      <c r="C22" s="13">
        <v>10.0</v>
      </c>
      <c r="D22" s="14" t="s">
        <v>25</v>
      </c>
      <c r="F22" s="13" t="s">
        <v>40</v>
      </c>
      <c r="G22" s="13">
        <v>50.0</v>
      </c>
      <c r="H22" s="13">
        <v>0.0</v>
      </c>
      <c r="I22" s="13" t="s">
        <v>25</v>
      </c>
    </row>
    <row r="23" ht="21.0" customHeight="1">
      <c r="A23" s="13" t="s">
        <v>41</v>
      </c>
      <c r="B23" s="13">
        <v>45.0</v>
      </c>
      <c r="C23" s="13">
        <v>45.0</v>
      </c>
      <c r="D23" s="14" t="s">
        <v>25</v>
      </c>
      <c r="F23" s="13" t="s">
        <v>42</v>
      </c>
      <c r="G23" s="13">
        <v>15.0</v>
      </c>
      <c r="H23" s="13">
        <v>0.0</v>
      </c>
      <c r="I23" s="13" t="s">
        <v>25</v>
      </c>
    </row>
    <row r="24" ht="20.25" customHeight="1">
      <c r="A24" s="13" t="s">
        <v>43</v>
      </c>
      <c r="B24" s="13">
        <v>25.0</v>
      </c>
      <c r="C24" s="13">
        <v>25.0</v>
      </c>
      <c r="D24" s="14">
        <v>10.0</v>
      </c>
      <c r="F24" s="13" t="s">
        <v>44</v>
      </c>
      <c r="G24" s="13">
        <v>30.0</v>
      </c>
      <c r="H24" s="13">
        <v>0.0</v>
      </c>
      <c r="I24" s="13">
        <v>0.0</v>
      </c>
    </row>
    <row r="25">
      <c r="A25" s="15"/>
      <c r="B25" s="15"/>
      <c r="C25" s="15"/>
      <c r="D25" s="16"/>
      <c r="F25" s="15"/>
      <c r="G25" s="15"/>
      <c r="H25" s="15"/>
      <c r="I25" s="15"/>
    </row>
    <row r="26">
      <c r="A26" s="11" t="s">
        <v>45</v>
      </c>
      <c r="B26" s="17"/>
      <c r="C26" s="17">
        <f t="shared" ref="C26:D26" si="1">SUM(C15:C24)</f>
        <v>260</v>
      </c>
      <c r="D26" s="17">
        <f t="shared" si="1"/>
        <v>35</v>
      </c>
      <c r="F26" s="11" t="s">
        <v>46</v>
      </c>
      <c r="G26" s="17"/>
      <c r="H26" s="17">
        <f t="shared" ref="H26:I26" si="2">SUM(H15:H24)</f>
        <v>0</v>
      </c>
      <c r="I26" s="17">
        <f t="shared" si="2"/>
        <v>0</v>
      </c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  <c r="E33" s="18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  <row r="1001">
      <c r="D1001" s="1"/>
    </row>
  </sheetData>
  <mergeCells count="2">
    <mergeCell ref="A13:D13"/>
    <mergeCell ref="F13:I13"/>
  </mergeCells>
  <conditionalFormatting sqref="A2:C2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88"/>
    <col customWidth="1" min="6" max="6" width="17.75"/>
  </cols>
  <sheetData>
    <row r="1">
      <c r="D1" s="1"/>
    </row>
    <row r="2">
      <c r="A2" s="2" t="s">
        <v>0</v>
      </c>
      <c r="B2" s="2" t="s">
        <v>1</v>
      </c>
      <c r="C2" s="2" t="s">
        <v>2</v>
      </c>
      <c r="D2" s="1"/>
      <c r="E2" s="3" t="s">
        <v>3</v>
      </c>
      <c r="F2" s="3" t="s">
        <v>4</v>
      </c>
    </row>
    <row r="3">
      <c r="A3" s="4" t="s">
        <v>47</v>
      </c>
      <c r="B3" s="4">
        <v>2025.0</v>
      </c>
      <c r="C3" s="4"/>
      <c r="D3" s="1"/>
      <c r="E3" s="5" t="s">
        <v>7</v>
      </c>
      <c r="F3" s="6">
        <f>SUM(C26:D26)</f>
        <v>270</v>
      </c>
    </row>
    <row r="4">
      <c r="A4" s="4" t="s">
        <v>48</v>
      </c>
      <c r="B4" s="4">
        <v>2025.0</v>
      </c>
      <c r="C4" s="7"/>
      <c r="D4" s="1"/>
      <c r="E4" s="5" t="s">
        <v>9</v>
      </c>
      <c r="F4" s="6">
        <f> SUM(H26:I26, 10)</f>
        <v>315</v>
      </c>
    </row>
    <row r="5">
      <c r="A5" s="4" t="s">
        <v>49</v>
      </c>
      <c r="B5" s="4">
        <v>2025.0</v>
      </c>
      <c r="C5" s="7"/>
      <c r="D5" s="1"/>
      <c r="E5" s="5" t="s">
        <v>11</v>
      </c>
      <c r="F5" s="6"/>
    </row>
    <row r="6">
      <c r="A6" s="4" t="s">
        <v>50</v>
      </c>
      <c r="B6" s="4">
        <v>2025.0</v>
      </c>
      <c r="C6" s="7"/>
      <c r="D6" s="1"/>
      <c r="E6" s="5" t="s">
        <v>13</v>
      </c>
      <c r="F6" s="6"/>
    </row>
    <row r="7">
      <c r="A7" s="4" t="s">
        <v>51</v>
      </c>
      <c r="B7" s="4">
        <v>2025.0</v>
      </c>
      <c r="C7" s="7"/>
      <c r="D7" s="1"/>
      <c r="E7" s="5" t="s">
        <v>15</v>
      </c>
      <c r="F7" s="6"/>
    </row>
    <row r="8">
      <c r="A8" s="4" t="s">
        <v>52</v>
      </c>
      <c r="B8" s="4">
        <v>2025.0</v>
      </c>
      <c r="C8" s="4" t="s">
        <v>53</v>
      </c>
      <c r="D8" s="1"/>
      <c r="E8" s="6"/>
      <c r="F8" s="6"/>
    </row>
    <row r="9">
      <c r="A9" s="19"/>
      <c r="B9" s="19"/>
      <c r="C9" s="1"/>
      <c r="D9" s="1"/>
      <c r="E9" s="3" t="s">
        <v>18</v>
      </c>
      <c r="F9" s="8">
        <f>SUM(F3:F7)</f>
        <v>585</v>
      </c>
    </row>
    <row r="10">
      <c r="A10" s="19"/>
      <c r="B10" s="19"/>
      <c r="C10" s="1"/>
      <c r="D10" s="1"/>
      <c r="E10" s="6"/>
      <c r="F10" s="6"/>
    </row>
    <row r="11">
      <c r="D11" s="1"/>
    </row>
    <row r="12">
      <c r="D12" s="1"/>
    </row>
    <row r="13">
      <c r="A13" s="9" t="s">
        <v>7</v>
      </c>
      <c r="F13" s="10" t="s">
        <v>9</v>
      </c>
    </row>
    <row r="14" ht="31.5" customHeight="1">
      <c r="A14" s="11" t="s">
        <v>20</v>
      </c>
      <c r="B14" s="11" t="s">
        <v>4</v>
      </c>
      <c r="C14" s="11" t="s">
        <v>21</v>
      </c>
      <c r="D14" s="11" t="s">
        <v>54</v>
      </c>
      <c r="E14" s="20"/>
      <c r="F14" s="11" t="s">
        <v>20</v>
      </c>
      <c r="G14" s="11" t="s">
        <v>4</v>
      </c>
      <c r="H14" s="11" t="s">
        <v>21</v>
      </c>
      <c r="I14" s="11" t="s">
        <v>23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8.0" customHeight="1">
      <c r="A15" s="13" t="s">
        <v>24</v>
      </c>
      <c r="B15" s="13">
        <v>30.0</v>
      </c>
      <c r="C15" s="13">
        <v>30.0</v>
      </c>
      <c r="D15" s="14" t="s">
        <v>25</v>
      </c>
      <c r="F15" s="13" t="s">
        <v>26</v>
      </c>
      <c r="G15" s="13">
        <v>25.0</v>
      </c>
      <c r="H15" s="13">
        <v>25.0</v>
      </c>
      <c r="I15" s="13" t="s">
        <v>25</v>
      </c>
    </row>
    <row r="16" ht="18.0" customHeight="1">
      <c r="A16" s="13" t="s">
        <v>27</v>
      </c>
      <c r="B16" s="13">
        <v>50.0</v>
      </c>
      <c r="C16" s="13">
        <v>50.0</v>
      </c>
      <c r="D16" s="14" t="s">
        <v>25</v>
      </c>
      <c r="F16" s="13" t="s">
        <v>28</v>
      </c>
      <c r="G16" s="13">
        <v>35.0</v>
      </c>
      <c r="H16" s="13">
        <v>35.0</v>
      </c>
      <c r="I16" s="13" t="s">
        <v>25</v>
      </c>
    </row>
    <row r="17" ht="18.75" customHeight="1">
      <c r="A17" s="13" t="s">
        <v>29</v>
      </c>
      <c r="B17" s="13">
        <v>50.0</v>
      </c>
      <c r="C17" s="15"/>
      <c r="D17" s="14">
        <v>0.0</v>
      </c>
      <c r="F17" s="13" t="s">
        <v>30</v>
      </c>
      <c r="G17" s="13">
        <v>45.0</v>
      </c>
      <c r="H17" s="13">
        <v>0.0</v>
      </c>
      <c r="I17" s="13" t="s">
        <v>25</v>
      </c>
    </row>
    <row r="18" ht="18.0" customHeight="1">
      <c r="A18" s="13" t="s">
        <v>31</v>
      </c>
      <c r="B18" s="13">
        <v>10.0</v>
      </c>
      <c r="C18" s="13">
        <v>10.0</v>
      </c>
      <c r="D18" s="14" t="s">
        <v>25</v>
      </c>
      <c r="F18" s="13" t="s">
        <v>32</v>
      </c>
      <c r="G18" s="13">
        <v>20.0</v>
      </c>
      <c r="H18" s="13">
        <v>20.0</v>
      </c>
      <c r="I18" s="13" t="s">
        <v>25</v>
      </c>
    </row>
    <row r="19" ht="31.5" customHeight="1">
      <c r="A19" s="13" t="s">
        <v>33</v>
      </c>
      <c r="B19" s="13">
        <v>20.0</v>
      </c>
      <c r="C19" s="13">
        <v>20.0</v>
      </c>
      <c r="D19" s="14" t="s">
        <v>25</v>
      </c>
      <c r="F19" s="13" t="s">
        <v>34</v>
      </c>
      <c r="G19" s="13">
        <v>40.0</v>
      </c>
      <c r="H19" s="13">
        <v>40.0</v>
      </c>
      <c r="I19" s="13" t="s">
        <v>25</v>
      </c>
    </row>
    <row r="20" ht="19.5" customHeight="1">
      <c r="A20" s="13" t="s">
        <v>35</v>
      </c>
      <c r="B20" s="13">
        <v>30.0</v>
      </c>
      <c r="C20" s="13">
        <v>30.0</v>
      </c>
      <c r="D20" s="14" t="s">
        <v>25</v>
      </c>
      <c r="F20" s="13" t="s">
        <v>36</v>
      </c>
      <c r="G20" s="13">
        <v>20.0</v>
      </c>
      <c r="H20" s="13">
        <v>20.0</v>
      </c>
      <c r="I20" s="13">
        <v>30.0</v>
      </c>
    </row>
    <row r="21" ht="30.75" customHeight="1">
      <c r="A21" s="13" t="s">
        <v>37</v>
      </c>
      <c r="B21" s="13">
        <v>40.0</v>
      </c>
      <c r="C21" s="13">
        <v>40.0</v>
      </c>
      <c r="D21" s="14" t="s">
        <v>25</v>
      </c>
      <c r="F21" s="13" t="s">
        <v>38</v>
      </c>
      <c r="G21" s="13">
        <v>40.0</v>
      </c>
      <c r="H21" s="13">
        <v>40.0</v>
      </c>
      <c r="I21" s="13" t="s">
        <v>25</v>
      </c>
    </row>
    <row r="22" ht="18.75" customHeight="1">
      <c r="A22" s="13" t="s">
        <v>39</v>
      </c>
      <c r="B22" s="13">
        <v>10.0</v>
      </c>
      <c r="C22" s="13">
        <v>10.0</v>
      </c>
      <c r="D22" s="14" t="s">
        <v>25</v>
      </c>
      <c r="F22" s="13" t="s">
        <v>40</v>
      </c>
      <c r="G22" s="13">
        <v>50.0</v>
      </c>
      <c r="H22" s="13">
        <v>50.0</v>
      </c>
      <c r="I22" s="13" t="s">
        <v>25</v>
      </c>
    </row>
    <row r="23" ht="21.0" customHeight="1">
      <c r="A23" s="13" t="s">
        <v>41</v>
      </c>
      <c r="B23" s="13">
        <v>45.0</v>
      </c>
      <c r="C23" s="13">
        <v>45.0</v>
      </c>
      <c r="D23" s="14">
        <v>10.0</v>
      </c>
      <c r="F23" s="13" t="s">
        <v>42</v>
      </c>
      <c r="G23" s="13">
        <v>15.0</v>
      </c>
      <c r="H23" s="13">
        <v>0.0</v>
      </c>
      <c r="I23" s="13" t="s">
        <v>25</v>
      </c>
    </row>
    <row r="24" ht="20.25" customHeight="1">
      <c r="A24" s="13" t="s">
        <v>43</v>
      </c>
      <c r="B24" s="13">
        <v>25.0</v>
      </c>
      <c r="C24" s="13">
        <v>25.0</v>
      </c>
      <c r="D24" s="14" t="s">
        <v>25</v>
      </c>
      <c r="F24" s="13" t="s">
        <v>44</v>
      </c>
      <c r="G24" s="13">
        <v>30.0</v>
      </c>
      <c r="H24" s="13">
        <v>30.0</v>
      </c>
      <c r="I24" s="13">
        <v>15.0</v>
      </c>
    </row>
    <row r="25">
      <c r="A25" s="15"/>
      <c r="B25" s="15"/>
      <c r="C25" s="15"/>
      <c r="D25" s="16"/>
      <c r="F25" s="15"/>
      <c r="G25" s="15"/>
      <c r="H25" s="15"/>
      <c r="I25" s="15"/>
    </row>
    <row r="26">
      <c r="A26" s="11" t="s">
        <v>45</v>
      </c>
      <c r="B26" s="17"/>
      <c r="C26" s="17">
        <f>SUM(C15:C24)</f>
        <v>260</v>
      </c>
      <c r="D26" s="21">
        <f>SUM(D14:D24)</f>
        <v>10</v>
      </c>
      <c r="F26" s="11" t="s">
        <v>46</v>
      </c>
      <c r="G26" s="17"/>
      <c r="H26" s="17">
        <f t="shared" ref="H26:I26" si="1">SUM(H15:H24)</f>
        <v>260</v>
      </c>
      <c r="I26" s="17">
        <f t="shared" si="1"/>
        <v>45</v>
      </c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  <row r="1001">
      <c r="D1001" s="1"/>
    </row>
  </sheetData>
  <mergeCells count="2">
    <mergeCell ref="A13:D13"/>
    <mergeCell ref="F13:I13"/>
  </mergeCells>
  <conditionalFormatting sqref="A2:C2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88"/>
    <col customWidth="1" min="6" max="6" width="18.25"/>
  </cols>
  <sheetData>
    <row r="1">
      <c r="D1" s="1"/>
    </row>
    <row r="2">
      <c r="A2" s="2" t="s">
        <v>0</v>
      </c>
      <c r="B2" s="2" t="s">
        <v>1</v>
      </c>
      <c r="C2" s="2" t="s">
        <v>2</v>
      </c>
      <c r="D2" s="1"/>
      <c r="E2" s="3" t="s">
        <v>3</v>
      </c>
      <c r="F2" s="3" t="s">
        <v>4</v>
      </c>
    </row>
    <row r="3">
      <c r="A3" s="4" t="s">
        <v>55</v>
      </c>
      <c r="B3" s="4">
        <v>2025.0</v>
      </c>
      <c r="C3" s="4"/>
      <c r="D3" s="1"/>
      <c r="E3" s="5" t="s">
        <v>7</v>
      </c>
      <c r="F3" s="6">
        <f>SUM(C26:D26)</f>
        <v>0</v>
      </c>
    </row>
    <row r="4">
      <c r="A4" s="4" t="s">
        <v>56</v>
      </c>
      <c r="B4" s="4">
        <v>2025.0</v>
      </c>
      <c r="C4" s="7"/>
      <c r="D4" s="1"/>
      <c r="E4" s="5" t="s">
        <v>9</v>
      </c>
      <c r="F4" s="5">
        <v>0.0</v>
      </c>
    </row>
    <row r="5">
      <c r="A5" s="4" t="s">
        <v>57</v>
      </c>
      <c r="B5" s="4">
        <v>2025.0</v>
      </c>
      <c r="C5" s="7"/>
      <c r="D5" s="1"/>
      <c r="E5" s="5" t="s">
        <v>11</v>
      </c>
      <c r="F5" s="6"/>
    </row>
    <row r="6">
      <c r="A6" s="4" t="s">
        <v>58</v>
      </c>
      <c r="B6" s="4">
        <v>2025.0</v>
      </c>
      <c r="C6" s="4" t="s">
        <v>53</v>
      </c>
      <c r="D6" s="1"/>
      <c r="E6" s="5" t="s">
        <v>13</v>
      </c>
      <c r="F6" s="6"/>
    </row>
    <row r="7">
      <c r="A7" s="4" t="s">
        <v>59</v>
      </c>
      <c r="B7" s="4">
        <v>2025.0</v>
      </c>
      <c r="C7" s="7"/>
      <c r="D7" s="1"/>
      <c r="E7" s="5" t="s">
        <v>15</v>
      </c>
      <c r="F7" s="6"/>
    </row>
    <row r="8">
      <c r="A8" s="4" t="s">
        <v>60</v>
      </c>
      <c r="B8" s="4">
        <v>2025.0</v>
      </c>
      <c r="C8" s="7"/>
      <c r="D8" s="1"/>
      <c r="E8" s="6"/>
      <c r="F8" s="6"/>
    </row>
    <row r="9">
      <c r="A9" s="4" t="s">
        <v>61</v>
      </c>
      <c r="B9" s="4">
        <v>2025.0</v>
      </c>
      <c r="C9" s="7"/>
      <c r="D9" s="1"/>
      <c r="E9" s="3" t="s">
        <v>18</v>
      </c>
      <c r="F9" s="8">
        <f>SUM(F3:F7)</f>
        <v>0</v>
      </c>
    </row>
    <row r="10">
      <c r="A10" s="4" t="s">
        <v>62</v>
      </c>
      <c r="B10" s="4">
        <v>2025.0</v>
      </c>
      <c r="C10" s="7"/>
      <c r="D10" s="1"/>
      <c r="E10" s="6"/>
      <c r="F10" s="6"/>
    </row>
    <row r="11">
      <c r="D11" s="1"/>
    </row>
    <row r="12">
      <c r="D12" s="1"/>
    </row>
    <row r="13">
      <c r="A13" s="9" t="s">
        <v>7</v>
      </c>
      <c r="F13" s="10" t="s">
        <v>9</v>
      </c>
    </row>
    <row r="14" ht="27.0" customHeight="1">
      <c r="A14" s="11" t="s">
        <v>20</v>
      </c>
      <c r="B14" s="11" t="s">
        <v>4</v>
      </c>
      <c r="C14" s="11" t="s">
        <v>21</v>
      </c>
      <c r="D14" s="11" t="s">
        <v>63</v>
      </c>
      <c r="E14" s="20"/>
      <c r="F14" s="11" t="s">
        <v>20</v>
      </c>
      <c r="G14" s="11" t="s">
        <v>4</v>
      </c>
      <c r="H14" s="11" t="s">
        <v>21</v>
      </c>
      <c r="I14" s="11" t="s">
        <v>23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8.0" customHeight="1">
      <c r="A15" s="13" t="s">
        <v>24</v>
      </c>
      <c r="B15" s="13">
        <v>30.0</v>
      </c>
      <c r="C15" s="13">
        <v>0.0</v>
      </c>
      <c r="D15" s="14" t="s">
        <v>25</v>
      </c>
      <c r="F15" s="13" t="s">
        <v>26</v>
      </c>
      <c r="G15" s="13">
        <v>25.0</v>
      </c>
      <c r="H15" s="13">
        <v>0.0</v>
      </c>
      <c r="I15" s="13" t="s">
        <v>25</v>
      </c>
    </row>
    <row r="16" ht="18.0" customHeight="1">
      <c r="A16" s="13" t="s">
        <v>27</v>
      </c>
      <c r="B16" s="13">
        <v>50.0</v>
      </c>
      <c r="C16" s="13">
        <v>0.0</v>
      </c>
      <c r="D16" s="14" t="s">
        <v>25</v>
      </c>
      <c r="F16" s="13" t="s">
        <v>28</v>
      </c>
      <c r="G16" s="13">
        <v>35.0</v>
      </c>
      <c r="H16" s="13">
        <v>0.0</v>
      </c>
      <c r="I16" s="13" t="s">
        <v>25</v>
      </c>
    </row>
    <row r="17" ht="18.75" customHeight="1">
      <c r="A17" s="13" t="s">
        <v>29</v>
      </c>
      <c r="B17" s="13">
        <v>50.0</v>
      </c>
      <c r="C17" s="13">
        <v>0.0</v>
      </c>
      <c r="D17" s="14">
        <v>0.0</v>
      </c>
      <c r="F17" s="13" t="s">
        <v>30</v>
      </c>
      <c r="G17" s="13">
        <v>45.0</v>
      </c>
      <c r="H17" s="13">
        <v>0.0</v>
      </c>
      <c r="I17" s="13" t="s">
        <v>25</v>
      </c>
    </row>
    <row r="18" ht="18.0" customHeight="1">
      <c r="A18" s="13" t="s">
        <v>31</v>
      </c>
      <c r="B18" s="13">
        <v>10.0</v>
      </c>
      <c r="C18" s="13">
        <v>0.0</v>
      </c>
      <c r="D18" s="14" t="s">
        <v>25</v>
      </c>
      <c r="F18" s="13" t="s">
        <v>32</v>
      </c>
      <c r="G18" s="13">
        <v>20.0</v>
      </c>
      <c r="H18" s="13">
        <v>0.0</v>
      </c>
      <c r="I18" s="13" t="s">
        <v>25</v>
      </c>
    </row>
    <row r="19" ht="31.5" customHeight="1">
      <c r="A19" s="13" t="s">
        <v>33</v>
      </c>
      <c r="B19" s="13">
        <v>20.0</v>
      </c>
      <c r="C19" s="13">
        <v>0.0</v>
      </c>
      <c r="D19" s="14" t="s">
        <v>25</v>
      </c>
      <c r="F19" s="13" t="s">
        <v>34</v>
      </c>
      <c r="G19" s="13">
        <v>40.0</v>
      </c>
      <c r="H19" s="13">
        <v>0.0</v>
      </c>
      <c r="I19" s="13" t="s">
        <v>25</v>
      </c>
    </row>
    <row r="20" ht="19.5" customHeight="1">
      <c r="A20" s="13" t="s">
        <v>35</v>
      </c>
      <c r="B20" s="13">
        <v>30.0</v>
      </c>
      <c r="C20" s="13">
        <v>0.0</v>
      </c>
      <c r="D20" s="14" t="s">
        <v>25</v>
      </c>
      <c r="F20" s="13" t="s">
        <v>36</v>
      </c>
      <c r="G20" s="13">
        <v>20.0</v>
      </c>
      <c r="H20" s="13">
        <v>0.0</v>
      </c>
      <c r="I20" s="13" t="s">
        <v>25</v>
      </c>
    </row>
    <row r="21" ht="30.75" customHeight="1">
      <c r="A21" s="13" t="s">
        <v>37</v>
      </c>
      <c r="B21" s="13">
        <v>40.0</v>
      </c>
      <c r="C21" s="13">
        <v>0.0</v>
      </c>
      <c r="D21" s="14" t="s">
        <v>25</v>
      </c>
      <c r="F21" s="13" t="s">
        <v>38</v>
      </c>
      <c r="G21" s="13">
        <v>40.0</v>
      </c>
      <c r="H21" s="13">
        <v>0.0</v>
      </c>
      <c r="I21" s="13" t="s">
        <v>25</v>
      </c>
    </row>
    <row r="22" ht="18.75" customHeight="1">
      <c r="A22" s="13" t="s">
        <v>39</v>
      </c>
      <c r="B22" s="13">
        <v>10.0</v>
      </c>
      <c r="C22" s="13">
        <v>0.0</v>
      </c>
      <c r="D22" s="14" t="s">
        <v>25</v>
      </c>
      <c r="F22" s="13" t="s">
        <v>40</v>
      </c>
      <c r="G22" s="13">
        <v>50.0</v>
      </c>
      <c r="H22" s="13">
        <v>0.0</v>
      </c>
      <c r="I22" s="13" t="s">
        <v>25</v>
      </c>
    </row>
    <row r="23" ht="21.0" customHeight="1">
      <c r="A23" s="13" t="s">
        <v>41</v>
      </c>
      <c r="B23" s="13">
        <v>45.0</v>
      </c>
      <c r="C23" s="13">
        <v>0.0</v>
      </c>
      <c r="D23" s="14" t="s">
        <v>25</v>
      </c>
      <c r="F23" s="13" t="s">
        <v>42</v>
      </c>
      <c r="G23" s="13">
        <v>15.0</v>
      </c>
      <c r="H23" s="13">
        <v>0.0</v>
      </c>
      <c r="I23" s="13" t="s">
        <v>25</v>
      </c>
    </row>
    <row r="24" ht="20.25" customHeight="1">
      <c r="A24" s="13" t="s">
        <v>43</v>
      </c>
      <c r="B24" s="13">
        <v>25.0</v>
      </c>
      <c r="C24" s="13">
        <v>0.0</v>
      </c>
      <c r="D24" s="14">
        <v>0.0</v>
      </c>
      <c r="F24" s="13" t="s">
        <v>44</v>
      </c>
      <c r="G24" s="13">
        <v>30.0</v>
      </c>
      <c r="H24" s="13">
        <v>0.0</v>
      </c>
      <c r="I24" s="13">
        <v>0.0</v>
      </c>
    </row>
    <row r="25">
      <c r="A25" s="15"/>
      <c r="B25" s="15"/>
      <c r="C25" s="15"/>
      <c r="D25" s="16"/>
      <c r="F25" s="15"/>
      <c r="G25" s="15"/>
      <c r="H25" s="15"/>
      <c r="I25" s="15"/>
    </row>
    <row r="26">
      <c r="A26" s="11" t="s">
        <v>45</v>
      </c>
      <c r="B26" s="17"/>
      <c r="C26" s="17">
        <f>SUM(C15:C24)</f>
        <v>0</v>
      </c>
      <c r="D26" s="21">
        <f> SUM(D15:D24)</f>
        <v>0</v>
      </c>
      <c r="F26" s="11" t="s">
        <v>46</v>
      </c>
      <c r="G26" s="17"/>
      <c r="H26" s="17">
        <f t="shared" ref="H26:I26" si="1">SUM(H15:H24)</f>
        <v>0</v>
      </c>
      <c r="I26" s="17">
        <f t="shared" si="1"/>
        <v>0</v>
      </c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  <row r="1001">
      <c r="D1001" s="1"/>
    </row>
  </sheetData>
  <mergeCells count="2">
    <mergeCell ref="A13:D13"/>
    <mergeCell ref="F13:I13"/>
  </mergeCells>
  <conditionalFormatting sqref="A2:C2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88"/>
    <col customWidth="1" min="6" max="6" width="18.75"/>
  </cols>
  <sheetData>
    <row r="1">
      <c r="D1" s="1"/>
    </row>
    <row r="2">
      <c r="A2" s="2" t="s">
        <v>0</v>
      </c>
      <c r="B2" s="2" t="s">
        <v>1</v>
      </c>
      <c r="C2" s="2" t="s">
        <v>2</v>
      </c>
      <c r="D2" s="1"/>
      <c r="E2" s="3" t="s">
        <v>3</v>
      </c>
      <c r="F2" s="3" t="s">
        <v>4</v>
      </c>
    </row>
    <row r="3">
      <c r="A3" s="4" t="s">
        <v>64</v>
      </c>
      <c r="B3" s="4">
        <v>2024.0</v>
      </c>
      <c r="C3" s="4"/>
      <c r="D3" s="1"/>
      <c r="E3" s="5" t="s">
        <v>7</v>
      </c>
      <c r="F3" s="5" t="s">
        <v>65</v>
      </c>
    </row>
    <row r="4">
      <c r="A4" s="4" t="s">
        <v>66</v>
      </c>
      <c r="B4" s="4">
        <v>2024.0</v>
      </c>
      <c r="C4" s="7"/>
      <c r="D4" s="1"/>
      <c r="E4" s="5" t="s">
        <v>9</v>
      </c>
      <c r="F4" s="5">
        <v>0.0</v>
      </c>
    </row>
    <row r="5">
      <c r="A5" s="4" t="s">
        <v>67</v>
      </c>
      <c r="B5" s="4">
        <v>2024.0</v>
      </c>
      <c r="C5" s="7"/>
      <c r="D5" s="1"/>
      <c r="E5" s="5" t="s">
        <v>11</v>
      </c>
      <c r="F5" s="6"/>
    </row>
    <row r="6">
      <c r="A6" s="4" t="s">
        <v>68</v>
      </c>
      <c r="B6" s="4">
        <v>2024.0</v>
      </c>
      <c r="C6" s="4"/>
      <c r="D6" s="1"/>
      <c r="E6" s="5" t="s">
        <v>13</v>
      </c>
      <c r="F6" s="6"/>
    </row>
    <row r="7">
      <c r="A7" s="4" t="s">
        <v>69</v>
      </c>
      <c r="B7" s="4">
        <v>2024.0</v>
      </c>
      <c r="C7" s="4" t="s">
        <v>53</v>
      </c>
      <c r="D7" s="1"/>
      <c r="E7" s="5" t="s">
        <v>15</v>
      </c>
      <c r="F7" s="6"/>
    </row>
    <row r="8">
      <c r="A8" s="4" t="s">
        <v>70</v>
      </c>
      <c r="B8" s="4">
        <v>2024.0</v>
      </c>
      <c r="C8" s="7"/>
      <c r="D8" s="1"/>
      <c r="E8" s="6"/>
      <c r="F8" s="6"/>
    </row>
    <row r="9">
      <c r="A9" s="19"/>
      <c r="B9" s="19"/>
      <c r="C9" s="1"/>
      <c r="D9" s="1"/>
      <c r="E9" s="3" t="s">
        <v>18</v>
      </c>
      <c r="F9" s="8">
        <f>SUM(F3:F7)</f>
        <v>0</v>
      </c>
    </row>
    <row r="10">
      <c r="A10" s="19"/>
      <c r="B10" s="19"/>
      <c r="C10" s="1"/>
      <c r="D10" s="1"/>
    </row>
    <row r="11">
      <c r="D11" s="1"/>
    </row>
    <row r="12">
      <c r="D12" s="1"/>
    </row>
    <row r="13">
      <c r="A13" s="9" t="s">
        <v>7</v>
      </c>
      <c r="F13" s="10" t="s">
        <v>9</v>
      </c>
    </row>
    <row r="14" ht="27.0" customHeight="1">
      <c r="A14" s="11" t="s">
        <v>20</v>
      </c>
      <c r="B14" s="11" t="s">
        <v>4</v>
      </c>
      <c r="C14" s="11" t="s">
        <v>21</v>
      </c>
      <c r="D14" s="11" t="s">
        <v>63</v>
      </c>
      <c r="E14" s="20"/>
      <c r="F14" s="11" t="s">
        <v>20</v>
      </c>
      <c r="G14" s="11" t="s">
        <v>4</v>
      </c>
      <c r="H14" s="11" t="s">
        <v>21</v>
      </c>
      <c r="I14" s="11" t="s">
        <v>23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8.0" customHeight="1">
      <c r="A15" s="13" t="s">
        <v>24</v>
      </c>
      <c r="B15" s="13">
        <v>30.0</v>
      </c>
      <c r="C15" s="13">
        <v>0.0</v>
      </c>
      <c r="D15" s="14" t="s">
        <v>25</v>
      </c>
      <c r="F15" s="13" t="s">
        <v>26</v>
      </c>
      <c r="G15" s="13">
        <v>25.0</v>
      </c>
      <c r="H15" s="13">
        <v>0.0</v>
      </c>
      <c r="I15" s="13" t="s">
        <v>25</v>
      </c>
    </row>
    <row r="16" ht="18.0" customHeight="1">
      <c r="A16" s="13" t="s">
        <v>27</v>
      </c>
      <c r="B16" s="13">
        <v>50.0</v>
      </c>
      <c r="C16" s="13">
        <v>0.0</v>
      </c>
      <c r="D16" s="14" t="s">
        <v>25</v>
      </c>
      <c r="F16" s="13" t="s">
        <v>28</v>
      </c>
      <c r="G16" s="13">
        <v>35.0</v>
      </c>
      <c r="H16" s="13">
        <v>0.0</v>
      </c>
      <c r="I16" s="13" t="s">
        <v>25</v>
      </c>
    </row>
    <row r="17" ht="18.75" customHeight="1">
      <c r="A17" s="13" t="s">
        <v>29</v>
      </c>
      <c r="B17" s="13">
        <v>50.0</v>
      </c>
      <c r="C17" s="13">
        <v>0.0</v>
      </c>
      <c r="D17" s="14">
        <v>0.0</v>
      </c>
      <c r="F17" s="13" t="s">
        <v>30</v>
      </c>
      <c r="G17" s="13">
        <v>45.0</v>
      </c>
      <c r="H17" s="13">
        <v>0.0</v>
      </c>
      <c r="I17" s="13" t="s">
        <v>25</v>
      </c>
    </row>
    <row r="18" ht="18.0" customHeight="1">
      <c r="A18" s="13" t="s">
        <v>31</v>
      </c>
      <c r="B18" s="13">
        <v>10.0</v>
      </c>
      <c r="C18" s="13">
        <v>0.0</v>
      </c>
      <c r="D18" s="14" t="s">
        <v>25</v>
      </c>
      <c r="F18" s="13" t="s">
        <v>32</v>
      </c>
      <c r="G18" s="13">
        <v>20.0</v>
      </c>
      <c r="H18" s="13">
        <v>0.0</v>
      </c>
      <c r="I18" s="13" t="s">
        <v>25</v>
      </c>
    </row>
    <row r="19" ht="31.5" customHeight="1">
      <c r="A19" s="13" t="s">
        <v>33</v>
      </c>
      <c r="B19" s="13">
        <v>20.0</v>
      </c>
      <c r="C19" s="13">
        <v>0.0</v>
      </c>
      <c r="D19" s="14" t="s">
        <v>25</v>
      </c>
      <c r="F19" s="13" t="s">
        <v>34</v>
      </c>
      <c r="G19" s="13">
        <v>40.0</v>
      </c>
      <c r="H19" s="13">
        <v>0.0</v>
      </c>
      <c r="I19" s="13" t="s">
        <v>25</v>
      </c>
    </row>
    <row r="20" ht="19.5" customHeight="1">
      <c r="A20" s="13" t="s">
        <v>35</v>
      </c>
      <c r="B20" s="13">
        <v>30.0</v>
      </c>
      <c r="C20" s="13">
        <v>0.0</v>
      </c>
      <c r="D20" s="14" t="s">
        <v>25</v>
      </c>
      <c r="F20" s="13" t="s">
        <v>36</v>
      </c>
      <c r="G20" s="13">
        <v>20.0</v>
      </c>
      <c r="H20" s="13">
        <v>0.0</v>
      </c>
      <c r="I20" s="13" t="s">
        <v>25</v>
      </c>
    </row>
    <row r="21" ht="30.75" customHeight="1">
      <c r="A21" s="13" t="s">
        <v>37</v>
      </c>
      <c r="B21" s="13">
        <v>40.0</v>
      </c>
      <c r="C21" s="13">
        <v>0.0</v>
      </c>
      <c r="D21" s="14" t="s">
        <v>25</v>
      </c>
      <c r="F21" s="13" t="s">
        <v>38</v>
      </c>
      <c r="G21" s="13">
        <v>40.0</v>
      </c>
      <c r="H21" s="13">
        <v>0.0</v>
      </c>
      <c r="I21" s="13" t="s">
        <v>25</v>
      </c>
    </row>
    <row r="22" ht="18.75" customHeight="1">
      <c r="A22" s="13" t="s">
        <v>39</v>
      </c>
      <c r="B22" s="13">
        <v>10.0</v>
      </c>
      <c r="C22" s="13">
        <v>0.0</v>
      </c>
      <c r="D22" s="14" t="s">
        <v>25</v>
      </c>
      <c r="F22" s="13" t="s">
        <v>40</v>
      </c>
      <c r="G22" s="13">
        <v>50.0</v>
      </c>
      <c r="H22" s="13">
        <v>0.0</v>
      </c>
      <c r="I22" s="13" t="s">
        <v>25</v>
      </c>
    </row>
    <row r="23" ht="21.0" customHeight="1">
      <c r="A23" s="13" t="s">
        <v>41</v>
      </c>
      <c r="B23" s="13">
        <v>45.0</v>
      </c>
      <c r="C23" s="13">
        <v>0.0</v>
      </c>
      <c r="D23" s="14" t="s">
        <v>25</v>
      </c>
      <c r="F23" s="13" t="s">
        <v>42</v>
      </c>
      <c r="G23" s="13">
        <v>15.0</v>
      </c>
      <c r="H23" s="13">
        <v>0.0</v>
      </c>
      <c r="I23" s="13" t="s">
        <v>25</v>
      </c>
    </row>
    <row r="24" ht="20.25" customHeight="1">
      <c r="A24" s="13" t="s">
        <v>43</v>
      </c>
      <c r="B24" s="13">
        <v>25.0</v>
      </c>
      <c r="C24" s="13">
        <v>0.0</v>
      </c>
      <c r="D24" s="14">
        <v>0.0</v>
      </c>
      <c r="F24" s="13" t="s">
        <v>44</v>
      </c>
      <c r="G24" s="13">
        <v>30.0</v>
      </c>
      <c r="H24" s="13">
        <v>0.0</v>
      </c>
      <c r="I24" s="13">
        <v>0.0</v>
      </c>
    </row>
    <row r="25">
      <c r="A25" s="15"/>
      <c r="B25" s="15"/>
      <c r="C25" s="15"/>
      <c r="D25" s="16"/>
      <c r="F25" s="15"/>
      <c r="G25" s="15"/>
      <c r="H25" s="15"/>
      <c r="I25" s="15"/>
    </row>
    <row r="26">
      <c r="A26" s="11" t="s">
        <v>45</v>
      </c>
      <c r="B26" s="17"/>
      <c r="C26" s="17">
        <f>SUM(C15:C24)</f>
        <v>0</v>
      </c>
      <c r="D26" s="21">
        <f> SUM(D15:D24)</f>
        <v>0</v>
      </c>
      <c r="F26" s="11" t="s">
        <v>46</v>
      </c>
      <c r="G26" s="17"/>
      <c r="H26" s="17">
        <f t="shared" ref="H26:I26" si="1">SUM(H15:H24)</f>
        <v>0</v>
      </c>
      <c r="I26" s="17">
        <f t="shared" si="1"/>
        <v>0</v>
      </c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  <row r="1001">
      <c r="D1001" s="1"/>
    </row>
  </sheetData>
  <mergeCells count="2">
    <mergeCell ref="A13:D13"/>
    <mergeCell ref="F13:I13"/>
  </mergeCells>
  <conditionalFormatting sqref="A2:C2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